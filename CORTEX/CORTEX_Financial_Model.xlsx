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Offer Structure" sheetId="2" state="visible" r:id="rId4"/>
    <sheet name="Pricing - SEA" sheetId="3" state="visible" r:id="rId5"/>
    <sheet name="Pricing - EU" sheetId="4" state="visible" r:id="rId6"/>
    <sheet name="Pricing - Premium" sheetId="5" state="visible" r:id="rId7"/>
    <sheet name="Margin Analysis" sheetId="6" state="visible" r:id="rId8"/>
    <sheet name="Revenue Model" sheetId="7" state="visible" r:id="rId9"/>
    <sheet name="Headcoun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<sst xmlns="http://schemas.openxmlformats.org/spreadsheetml/2006/main" count="250" uniqueCount="204">
  <si>
    <t xml:space="preserve">CORTEX — Financial &amp; Pricing Model</t>
  </si>
  <si>
    <t xml:space="preserve">Business Intelligence Operating System (BIOS)  ·  v1.0  ·  June 2026</t>
  </si>
  <si>
    <t xml:space="preserve">SEA/Malaysia-anchored pricing  ·  EU &amp; Premium variants  ·  recurring figures standardised to USD</t>
  </si>
  <si>
    <t xml:space="preserve">KEY ASSUMPTIONS (blue = editable inputs)</t>
  </si>
  <si>
    <t xml:space="preserve">Assumption</t>
  </si>
  <si>
    <t xml:space="preserve">Value</t>
  </si>
  <si>
    <t xml:space="preserve">Note</t>
  </si>
  <si>
    <t xml:space="preserve">FX: USD per MYR</t>
  </si>
  <si>
    <t xml:space="preserve">1 USD ~ 4.70 MYR (Jun 2026)</t>
  </si>
  <si>
    <t xml:space="preserve">FX: USD per EUR</t>
  </si>
  <si>
    <t xml:space="preserve">1 EUR ~ 0.935 USD</t>
  </si>
  <si>
    <t xml:space="preserve">Blended implementation labour cost / hr (USD)</t>
  </si>
  <si>
    <t xml:space="preserve">Internal: Karim + KL contractors, Yr1-2</t>
  </si>
  <si>
    <t xml:space="preserve">Subscription COGS - Starter / mo (USD)</t>
  </si>
  <si>
    <t xml:space="preserve">Shared multi-tenant hosting + LLM tokens</t>
  </si>
  <si>
    <t xml:space="preserve">Subscription COGS - Growth / mo (USD)</t>
  </si>
  <si>
    <t xml:space="preserve">Multi-tenant, more docs + integrations</t>
  </si>
  <si>
    <t xml:space="preserve">Subscription COGS - Professional / mo (USD)</t>
  </si>
  <si>
    <t xml:space="preserve">Multi/isolated tenant, heavier compute</t>
  </si>
  <si>
    <t xml:space="preserve">Subscription COGS - Enterprise / mo (USD)</t>
  </si>
  <si>
    <t xml:space="preserve">Single-tenant / VPC, heavy LLM + governance</t>
  </si>
  <si>
    <t xml:space="preserve">Gross logo retention (annual)</t>
  </si>
  <si>
    <t xml:space="preserve">Active-base roll-forward</t>
  </si>
  <si>
    <t xml:space="preserve">Net revenue retention (expansion)</t>
  </si>
  <si>
    <t xml:space="preserve">Land-and-expand up the maturity ladder</t>
  </si>
  <si>
    <t xml:space="preserve">TABS</t>
  </si>
  <si>
    <t xml:space="preserve">Offer Structure</t>
  </si>
  <si>
    <t xml:space="preserve">-&gt;</t>
  </si>
  <si>
    <t xml:space="preserve">4-tier ladder: features, limits, AI, automations, support</t>
  </si>
  <si>
    <t xml:space="preserve">Pricing - SEA</t>
  </si>
  <si>
    <t xml:space="preserve">Malaysia / SEA price book (MYR), anchor market</t>
  </si>
  <si>
    <t xml:space="preserve">Pricing - EU</t>
  </si>
  <si>
    <t xml:space="preserve">Europe / DACH price book (EUR)</t>
  </si>
  <si>
    <t xml:space="preserve">Pricing - Premium</t>
  </si>
  <si>
    <t xml:space="preserve">Global Premium Enterprise price book (USD)</t>
  </si>
  <si>
    <t xml:space="preserve">Margin Analysis</t>
  </si>
  <si>
    <t xml:space="preserve">Per-tier subscription &amp; implementation margins</t>
  </si>
  <si>
    <t xml:space="preserve">Revenue Model</t>
  </si>
  <si>
    <t xml:space="preserve">3-year bookings, ARR, P&amp;L, EBITDA</t>
  </si>
  <si>
    <t xml:space="preserve">Headcount</t>
  </si>
  <si>
    <t xml:space="preserve">Hiring plan vs. revenue per phase</t>
  </si>
  <si>
    <t xml:space="preserve">The CORTEX Product Ladder - 4 Tiers</t>
  </si>
  <si>
    <t xml:space="preserve">One platform, five maturity levels, four company sizes. Customers climb - never re-platform.</t>
  </si>
  <si>
    <t xml:space="preserve">STARTER</t>
  </si>
  <si>
    <t xml:space="preserve">GROWTH</t>
  </si>
  <si>
    <t xml:space="preserve">PROFESSIONAL</t>
  </si>
  <si>
    <t xml:space="preserve">ENTERPRISE</t>
  </si>
  <si>
    <t xml:space="preserve">Target customer</t>
  </si>
  <si>
    <t xml:space="preserve">Solo / micro (1-10)</t>
  </si>
  <si>
    <t xml:space="preserve">SME (10-250)</t>
  </si>
  <si>
    <t xml:space="preserve">Mid-market (250-2,500)</t>
  </si>
  <si>
    <t xml:space="preserve">Enterprise (2,500-10,000+)</t>
  </si>
  <si>
    <t xml:space="preserve">Maturity journey</t>
  </si>
  <si>
    <t xml:space="preserve">Level 1 -&gt; 2</t>
  </si>
  <si>
    <t xml:space="preserve">Level 2 -&gt; 3</t>
  </si>
  <si>
    <t xml:space="preserve">Level 3 -&gt; 4</t>
  </si>
  <si>
    <t xml:space="preserve">Level 4 -&gt; 5</t>
  </si>
  <si>
    <t xml:space="preserve">Outcome</t>
  </si>
  <si>
    <t xml:space="preserve">Find &amp; trust answers</t>
  </si>
  <si>
    <t xml:space="preserve">Brain runs the work</t>
  </si>
  <si>
    <t xml:space="preserve">Brain helps decide</t>
  </si>
  <si>
    <t xml:space="preserve">Business runs on it</t>
  </si>
  <si>
    <t xml:space="preserve">Brain layers active</t>
  </si>
  <si>
    <t xml:space="preserve">2-3 (Knowledge, Ops +1)</t>
  </si>
  <si>
    <t xml:space="preserve">4-5</t>
  </si>
  <si>
    <t xml:space="preserve">6-7</t>
  </si>
  <si>
    <t xml:space="preserve">All 8 lobes</t>
  </si>
  <si>
    <t xml:space="preserve">Documents ingested</t>
  </si>
  <si>
    <t xml:space="preserve">Up to 500</t>
  </si>
  <si>
    <t xml:space="preserve">Up to 5,000</t>
  </si>
  <si>
    <t xml:space="preserve">Up to 50,000</t>
  </si>
  <si>
    <t xml:space="preserve">Unlimited</t>
  </si>
  <si>
    <t xml:space="preserve">Data sources</t>
  </si>
  <si>
    <t xml:space="preserve">3 (uploaded)</t>
  </si>
  <si>
    <t xml:space="preserve">8 (docs + first APIs)</t>
  </si>
  <si>
    <t xml:space="preserve">15+ live integrations</t>
  </si>
  <si>
    <t xml:space="preserve">Unlimited + custom connectors</t>
  </si>
  <si>
    <t xml:space="preserve">AI functions</t>
  </si>
  <si>
    <t xml:space="preserve">Grounded Q&amp;A, source citation, confidence bands</t>
  </si>
  <si>
    <t xml:space="preserve">+ On-brand content, ops drafting, task running</t>
  </si>
  <si>
    <t xml:space="preserve">+ Decision scoring engine, agents, scenarios</t>
  </si>
  <si>
    <t xml:space="preserve">+ Custom scoring models, multi-brain, full agents</t>
  </si>
  <si>
    <t xml:space="preserve">Automations</t>
  </si>
  <si>
    <t xml:space="preserve">Read-only briefs only</t>
  </si>
  <si>
    <t xml:space="preserve">Basic schedules &amp; reminders</t>
  </si>
  <si>
    <t xml:space="preserve">Workflows + tool integrations</t>
  </si>
  <si>
    <t xml:space="preserve">Full autonomous cadence + custom triggers</t>
  </si>
  <si>
    <t xml:space="preserve">Dashboard</t>
  </si>
  <si>
    <t xml:space="preserve">Search + ask box</t>
  </si>
  <si>
    <t xml:space="preserve">+ Knowledge-graph view, briefs</t>
  </si>
  <si>
    <t xml:space="preserve">+ Scorecards, reports, graph analytics</t>
  </si>
  <si>
    <t xml:space="preserve">+ Role-aware enterprise dashboards</t>
  </si>
  <si>
    <t xml:space="preserve">Governance / RBAC</t>
  </si>
  <si>
    <t xml:space="preserve">Owner / flat</t>
  </si>
  <si>
    <t xml:space="preserve">A few roles</t>
  </si>
  <si>
    <t xml:space="preserve">Department clearances</t>
  </si>
  <si>
    <t xml:space="preserve">Fine-grained, SSO, full audit trail</t>
  </si>
  <si>
    <t xml:space="preserve">Deployment</t>
  </si>
  <si>
    <t xml:space="preserve">Shared multi-tenant</t>
  </si>
  <si>
    <t xml:space="preserve">Multi-tenant</t>
  </si>
  <si>
    <t xml:space="preserve">Multi-tenant or isolated</t>
  </si>
  <si>
    <t xml:space="preserve">Single-tenant / VPC / on-prem</t>
  </si>
  <si>
    <t xml:space="preserve">Trust &amp; verification</t>
  </si>
  <si>
    <t xml:space="preserve">Sourcing + no-fabrication</t>
  </si>
  <si>
    <t xml:space="preserve">+ Human-approval tiers</t>
  </si>
  <si>
    <t xml:space="preserve">+ Adversarial self-check</t>
  </si>
  <si>
    <t xml:space="preserve">+ Premium governance &amp; compliance pack</t>
  </si>
  <si>
    <t xml:space="preserve">Support</t>
  </si>
  <si>
    <t xml:space="preserve">Self-serve + docs</t>
  </si>
  <si>
    <t xml:space="preserve">Light onboarding</t>
  </si>
  <si>
    <t xml:space="preserve">Guided implementation</t>
  </si>
  <si>
    <t xml:space="preserve">Dedicated success manager + SLA</t>
  </si>
  <si>
    <t xml:space="preserve">Pricing - Malaysia / Southeast Asia (MYR)  ·  ANCHOR MARKET</t>
  </si>
  <si>
    <t xml:space="preserve">Anchored to KL/SEA willingness-to-pay. Enterprise = annual contract; figures are floors.</t>
  </si>
  <si>
    <t xml:space="preserve">One-time setup (CORTEX Method)</t>
  </si>
  <si>
    <t xml:space="preserve">Monthly platform fee</t>
  </si>
  <si>
    <t xml:space="preserve">Annual platform value (12 mo)</t>
  </si>
  <si>
    <t xml:space="preserve">Year-1 total (setup + 12 mo)</t>
  </si>
  <si>
    <t xml:space="preserve">ADD-ONS (monetise the variable layer)</t>
  </si>
  <si>
    <t xml:space="preserve">Add-on</t>
  </si>
  <si>
    <t xml:space="preserve">Price</t>
  </si>
  <si>
    <t xml:space="preserve">Extra industry template</t>
  </si>
  <si>
    <t xml:space="preserve">RM 4,000</t>
  </si>
  <si>
    <t xml:space="preserve">Additional brand-brain (agencies)</t>
  </si>
  <si>
    <t xml:space="preserve">RM 1,500/mo</t>
  </si>
  <si>
    <t xml:space="preserve">Premium integration (per system)</t>
  </si>
  <si>
    <t xml:space="preserve">RM 800/mo</t>
  </si>
  <si>
    <t xml:space="preserve">On-site capture workshop (1 day)</t>
  </si>
  <si>
    <t xml:space="preserve">RM 3,500</t>
  </si>
  <si>
    <t xml:space="preserve">Compliance pack (PDPA / industry)</t>
  </si>
  <si>
    <t xml:space="preserve">RM 6,000</t>
  </si>
  <si>
    <t xml:space="preserve">Pricing - Europe / DACH (EUR)</t>
  </si>
  <si>
    <t xml:space="preserve">Higher willingness-to-pay; GDPR governance is a premium selling point, not a cost.</t>
  </si>
  <si>
    <t xml:space="preserve">EUR 1,500</t>
  </si>
  <si>
    <t xml:space="preserve">EUR 500/mo</t>
  </si>
  <si>
    <t xml:space="preserve">EUR 250/mo</t>
  </si>
  <si>
    <t xml:space="preserve">EUR 1,800</t>
  </si>
  <si>
    <t xml:space="preserve">Compliance pack (GDPR / industry)</t>
  </si>
  <si>
    <t xml:space="preserve">EUR 2,500</t>
  </si>
  <si>
    <t xml:space="preserve">Pricing - Global Premium Enterprise (USD)  ·  single-tenant / VPC</t>
  </si>
  <si>
    <t xml:space="preserve">For regulated &amp; large global buyers needing isolation, custom templates, dedicated success.</t>
  </si>
  <si>
    <t xml:space="preserve">$ 5,000</t>
  </si>
  <si>
    <t xml:space="preserve">Additional brand-brain</t>
  </si>
  <si>
    <t xml:space="preserve">$ 1,000/mo</t>
  </si>
  <si>
    <t xml:space="preserve">$ 500/mo</t>
  </si>
  <si>
    <t xml:space="preserve">Dedicated success manager</t>
  </si>
  <si>
    <t xml:space="preserve">$ 3,000/mo</t>
  </si>
  <si>
    <t xml:space="preserve">On-prem / VPC deployment</t>
  </si>
  <si>
    <t xml:space="preserve">from $ 25,000</t>
  </si>
  <si>
    <t xml:space="preserve">Margin Analysis (per tier, USD)</t>
  </si>
  <si>
    <t xml:space="preserve">SEA prices converted to USD at the FX input. Subscription = high-margin SaaS; implementation = lower-margin services that fund the build and lock in the platform.</t>
  </si>
  <si>
    <t xml:space="preserve">Monthly fee (USD)</t>
  </si>
  <si>
    <t xml:space="preserve">Monthly subscription COGS (USD)</t>
  </si>
  <si>
    <t xml:space="preserve">Monthly gross profit (USD)</t>
  </si>
  <si>
    <t xml:space="preserve">Subscription gross margin %</t>
  </si>
  <si>
    <t xml:space="preserve">Setup price (USD)</t>
  </si>
  <si>
    <t xml:space="preserve">Implementation labour hours</t>
  </si>
  <si>
    <t xml:space="preserve">Implementation cost (USD)</t>
  </si>
  <si>
    <t xml:space="preserve">Implementation gross profit (USD)</t>
  </si>
  <si>
    <t xml:space="preserve">Implementation gross margin %</t>
  </si>
  <si>
    <t xml:space="preserve">Year-1 revenue (setup + 12mo, USD)</t>
  </si>
  <si>
    <t xml:space="preserve">Year-1 COGS (impl + 12mo subs, USD)</t>
  </si>
  <si>
    <t xml:space="preserve">Year-1 blended gross margin %</t>
  </si>
  <si>
    <t xml:space="preserve">Scalability: as templates mature and self-serve onboarding replaces hands-on capture, implementation hours fall and subscription mix rises - blended margin trends toward 80%+.</t>
  </si>
  <si>
    <t xml:space="preserve">3-Year Revenue Model (USD) - Base Case</t>
  </si>
  <si>
    <t xml:space="preserve">Phase 1 services-led pilots -&gt; Phase 2 productised platform -&gt; Phase 3 platform-led growth. Active base rolls forward at 85% logo retention.</t>
  </si>
  <si>
    <t xml:space="preserve">Year 1 (2026-27)</t>
  </si>
  <si>
    <t xml:space="preserve">Year 2 (2027-28)</t>
  </si>
  <si>
    <t xml:space="preserve">Year 3 (2028-29)</t>
  </si>
  <si>
    <t xml:space="preserve">NEW LOGOS</t>
  </si>
  <si>
    <t xml:space="preserve">  Starter</t>
  </si>
  <si>
    <t xml:space="preserve">  Growth</t>
  </si>
  <si>
    <t xml:space="preserve">  Professional</t>
  </si>
  <si>
    <t xml:space="preserve">  Enterprise</t>
  </si>
  <si>
    <t xml:space="preserve">Total new logos</t>
  </si>
  <si>
    <t xml:space="preserve">ACTIVE BASE (end of year)</t>
  </si>
  <si>
    <t xml:space="preserve">Total active clients</t>
  </si>
  <si>
    <t xml:space="preserve">REVENUE (USD)</t>
  </si>
  <si>
    <t xml:space="preserve">Setup / implementation revenue</t>
  </si>
  <si>
    <t xml:space="preserve">Recurring revenue (from active base)</t>
  </si>
  <si>
    <t xml:space="preserve">Total revenue</t>
  </si>
  <si>
    <t xml:space="preserve">COST &amp; PROFIT (USD)</t>
  </si>
  <si>
    <t xml:space="preserve">COGS (impl labour + hosting/LLM)</t>
  </si>
  <si>
    <t xml:space="preserve">Gross profit</t>
  </si>
  <si>
    <t xml:space="preserve">Gross margin %</t>
  </si>
  <si>
    <t xml:space="preserve">Operating expenses (team, S&amp;M, G&amp;A)</t>
  </si>
  <si>
    <t xml:space="preserve">EBITDA</t>
  </si>
  <si>
    <t xml:space="preserve">EBITDA margin %</t>
  </si>
  <si>
    <t xml:space="preserve">Exit-rate MRR (recurring / 12)</t>
  </si>
  <si>
    <t xml:space="preserve">Headcount Plan</t>
  </si>
  <si>
    <t xml:space="preserve">Lean services-led start; hire ahead of platform and template scale. FTEs + contractors.</t>
  </si>
  <si>
    <t xml:space="preserve">Role</t>
  </si>
  <si>
    <t xml:space="preserve">Year 1</t>
  </si>
  <si>
    <t xml:space="preserve">Year 2</t>
  </si>
  <si>
    <t xml:space="preserve">Year 3</t>
  </si>
  <si>
    <t xml:space="preserve">Founder / lead (Karim)</t>
  </si>
  <si>
    <t xml:space="preserve">AI / full-stack engineers</t>
  </si>
  <si>
    <t xml:space="preserve">Implementation consultants</t>
  </si>
  <si>
    <t xml:space="preserve">Sales / partnerships</t>
  </si>
  <si>
    <t xml:space="preserve">Customer success</t>
  </si>
  <si>
    <t xml:space="preserve">Marketing / content</t>
  </si>
  <si>
    <t xml:space="preserve">Ops / admin / finance</t>
  </si>
  <si>
    <t xml:space="preserve">Total headcount</t>
  </si>
  <si>
    <t xml:space="preserve">Revenue per head (USD)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</si>
</sst>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0.00"/>
    <numFmt numFmtId="167" formatCode="\$#,##0"/>
    <numFmt numFmtId="168" formatCode="&quot;RM &quot;#,##0"/>
    <numFmt numFmtId="169" formatCode="&quot;EUR &quot;#,##0"/>
    <numFmt numFmtId="170" formatCode="&quot;$ &quot;#,##0"/>
    <numFmt numFmtId="171" formatCode="0.0%"/>
    <numFmt numFmtId="172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917"/>
      <name val="Arial"/>
      <family val="0"/>
      <charset val="1"/>
    </font>
    <font>
      <b val="true"/>
      <sz val="12"/>
      <color rgb="FFC45A1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45A1A"/>
        <bgColor rgb="FF993300"/>
      </patternFill>
    </fill>
    <fill>
      <patternFill patternType="solid">
        <fgColor rgb="FFFFF2CC"/>
        <bgColor rgb="FFF5F2EE"/>
      </patternFill>
    </fill>
    <fill>
      <patternFill patternType="solid">
        <fgColor rgb="FFEDEAE4"/>
        <bgColor rgb="FFF5F2EE"/>
      </patternFill>
    </fill>
    <fill>
      <patternFill patternType="solid">
        <fgColor rgb="FFF5F2EE"/>
        <bgColor rgb="FFEDEA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4BA"/>
      </left>
      <right style="thin">
        <color rgb="FFC9C4BA"/>
      </right>
      <top style="thin">
        <color rgb="FFC9C4BA"/>
      </top>
      <bottom style="thin">
        <color rgb="FFC9C4B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4BA"/>
      <rgbColor rgb="FF808080"/>
      <rgbColor rgb="FF9999FF"/>
      <rgbColor rgb="FF993366"/>
      <rgbColor rgb="FFFFF2CC"/>
      <rgbColor rgb="FFF5F2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A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45A1A"/>
      <rgbColor rgb="FF666699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0"/>
  </cols>
  <sheetData>
    <row r="2" customFormat="false" ht="35.8" hidden="false" customHeight="false" outlineLevel="0" collapsed="false">
      <c r="B2" s="1" t="s">
        <v>0</v>
      </c>
    </row>
    <row r="3" customFormat="false" ht="26.85" hidden="false" customHeight="false" outlineLevel="0" collapsed="false">
      <c r="B3" s="2" t="s">
        <v>1</v>
      </c>
    </row>
    <row r="4" customFormat="false" ht="23.8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  <c r="C7" s="5" t="s">
        <v>5</v>
      </c>
      <c r="D7" s="5" t="s">
        <v>6</v>
      </c>
    </row>
    <row r="8" customFormat="false" ht="15" hidden="false" customHeight="false" outlineLevel="0" collapsed="false">
      <c r="B8" s="6" t="s">
        <v>7</v>
      </c>
      <c r="C8" s="7" t="n">
        <v>0.213</v>
      </c>
      <c r="D8" s="6" t="s">
        <v>8</v>
      </c>
    </row>
    <row r="9" customFormat="false" ht="15" hidden="false" customHeight="false" outlineLevel="0" collapsed="false">
      <c r="B9" s="6" t="s">
        <v>9</v>
      </c>
      <c r="C9" s="8" t="n">
        <v>1.07</v>
      </c>
      <c r="D9" s="6" t="s">
        <v>10</v>
      </c>
    </row>
    <row r="10" customFormat="false" ht="15" hidden="false" customHeight="false" outlineLevel="0" collapsed="false">
      <c r="B10" s="6" t="s">
        <v>11</v>
      </c>
      <c r="C10" s="9" t="n">
        <v>42</v>
      </c>
      <c r="D10" s="6" t="s">
        <v>12</v>
      </c>
    </row>
    <row r="11" customFormat="false" ht="15" hidden="false" customHeight="false" outlineLevel="0" collapsed="false">
      <c r="B11" s="6" t="s">
        <v>13</v>
      </c>
      <c r="C11" s="9" t="n">
        <v>25</v>
      </c>
      <c r="D11" s="6" t="s">
        <v>14</v>
      </c>
    </row>
    <row r="12" customFormat="false" ht="15" hidden="false" customHeight="false" outlineLevel="0" collapsed="false">
      <c r="B12" s="6" t="s">
        <v>15</v>
      </c>
      <c r="C12" s="9" t="n">
        <v>90</v>
      </c>
      <c r="D12" s="6" t="s">
        <v>16</v>
      </c>
    </row>
    <row r="13" customFormat="false" ht="15" hidden="false" customHeight="false" outlineLevel="0" collapsed="false">
      <c r="B13" s="6" t="s">
        <v>17</v>
      </c>
      <c r="C13" s="9" t="n">
        <v>350</v>
      </c>
      <c r="D13" s="6" t="s">
        <v>18</v>
      </c>
    </row>
    <row r="14" customFormat="false" ht="15" hidden="false" customHeight="false" outlineLevel="0" collapsed="false">
      <c r="B14" s="6" t="s">
        <v>19</v>
      </c>
      <c r="C14" s="9" t="n">
        <v>1400</v>
      </c>
      <c r="D14" s="6" t="s">
        <v>20</v>
      </c>
    </row>
    <row r="15" customFormat="false" ht="15" hidden="false" customHeight="false" outlineLevel="0" collapsed="false">
      <c r="B15" s="6" t="s">
        <v>21</v>
      </c>
      <c r="C15" s="8" t="n">
        <v>0.85</v>
      </c>
      <c r="D15" s="6" t="s">
        <v>22</v>
      </c>
    </row>
    <row r="16" customFormat="false" ht="15" hidden="false" customHeight="false" outlineLevel="0" collapsed="false">
      <c r="B16" s="6" t="s">
        <v>23</v>
      </c>
      <c r="C16" s="8" t="n">
        <v>1.15</v>
      </c>
      <c r="D16" s="6" t="s">
        <v>24</v>
      </c>
    </row>
    <row r="18" customFormat="false" ht="15" hidden="false" customHeight="false" outlineLevel="0" collapsed="false">
      <c r="B18" s="4" t="s">
        <v>25</v>
      </c>
    </row>
    <row r="19" customFormat="false" ht="23.85" hidden="false" customHeight="false" outlineLevel="0" collapsed="false">
      <c r="B19" s="4" t="s">
        <v>26</v>
      </c>
      <c r="C19" s="10" t="s">
        <v>27</v>
      </c>
      <c r="D19" s="3" t="s">
        <v>28</v>
      </c>
    </row>
    <row r="20" customFormat="false" ht="15" hidden="false" customHeight="false" outlineLevel="0" collapsed="false">
      <c r="B20" s="4" t="s">
        <v>29</v>
      </c>
      <c r="C20" s="10" t="s">
        <v>27</v>
      </c>
      <c r="D20" s="3" t="s">
        <v>30</v>
      </c>
    </row>
    <row r="21" customFormat="false" ht="15" hidden="false" customHeight="false" outlineLevel="0" collapsed="false">
      <c r="B21" s="4" t="s">
        <v>31</v>
      </c>
      <c r="C21" s="10" t="s">
        <v>27</v>
      </c>
      <c r="D21" s="3" t="s">
        <v>32</v>
      </c>
    </row>
    <row r="22" customFormat="false" ht="15" hidden="false" customHeight="false" outlineLevel="0" collapsed="false">
      <c r="B22" s="4" t="s">
        <v>33</v>
      </c>
      <c r="C22" s="10" t="s">
        <v>27</v>
      </c>
      <c r="D22" s="3" t="s">
        <v>34</v>
      </c>
    </row>
    <row r="23" customFormat="false" ht="15" hidden="false" customHeight="false" outlineLevel="0" collapsed="false">
      <c r="B23" s="4" t="s">
        <v>35</v>
      </c>
      <c r="C23" s="10" t="s">
        <v>27</v>
      </c>
      <c r="D23" s="3" t="s">
        <v>36</v>
      </c>
    </row>
    <row r="24" customFormat="false" ht="15" hidden="false" customHeight="false" outlineLevel="0" collapsed="false">
      <c r="B24" s="4" t="s">
        <v>37</v>
      </c>
      <c r="C24" s="10" t="s">
        <v>27</v>
      </c>
      <c r="D24" s="3" t="s">
        <v>38</v>
      </c>
    </row>
    <row r="25" customFormat="false" ht="15" hidden="false" customHeight="false" outlineLevel="0" collapsed="false">
      <c r="B25" s="4" t="s">
        <v>39</v>
      </c>
      <c r="C25" s="10" t="s">
        <v>27</v>
      </c>
      <c r="D25" s="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30"/>
  </cols>
  <sheetData>
    <row r="2" customFormat="false" ht="52.95" hidden="false" customHeight="false" outlineLevel="0" collapsed="false">
      <c r="A2" s="1" t="s">
        <v>41</v>
      </c>
    </row>
    <row r="3" customFormat="false" ht="35.05" hidden="false" customHeight="false" outlineLevel="0" collapsed="false">
      <c r="A3" s="3" t="s">
        <v>42</v>
      </c>
    </row>
    <row r="5" customFormat="false" ht="15" hidden="false" customHeight="false" outlineLevel="0" collapsed="false">
      <c r="A5" s="5"/>
      <c r="B5" s="5" t="s">
        <v>43</v>
      </c>
      <c r="C5" s="5" t="s">
        <v>44</v>
      </c>
      <c r="D5" s="5" t="s">
        <v>45</v>
      </c>
      <c r="E5" s="5" t="s">
        <v>46</v>
      </c>
    </row>
    <row r="6" customFormat="false" ht="42" hidden="false" customHeight="true" outlineLevel="0" collapsed="false">
      <c r="A6" s="11" t="s">
        <v>47</v>
      </c>
      <c r="B6" s="6" t="s">
        <v>48</v>
      </c>
      <c r="C6" s="6" t="s">
        <v>49</v>
      </c>
      <c r="D6" s="6" t="s">
        <v>50</v>
      </c>
      <c r="E6" s="6" t="s">
        <v>51</v>
      </c>
    </row>
    <row r="7" customFormat="false" ht="42" hidden="false" customHeight="true" outlineLevel="0" collapsed="false">
      <c r="A7" s="11" t="s">
        <v>52</v>
      </c>
      <c r="B7" s="6" t="s">
        <v>53</v>
      </c>
      <c r="C7" s="6" t="s">
        <v>54</v>
      </c>
      <c r="D7" s="6" t="s">
        <v>55</v>
      </c>
      <c r="E7" s="6" t="s">
        <v>56</v>
      </c>
    </row>
    <row r="8" customFormat="false" ht="42" hidden="false" customHeight="true" outlineLevel="0" collapsed="false">
      <c r="A8" s="11" t="s">
        <v>57</v>
      </c>
      <c r="B8" s="6" t="s">
        <v>58</v>
      </c>
      <c r="C8" s="6" t="s">
        <v>59</v>
      </c>
      <c r="D8" s="6" t="s">
        <v>60</v>
      </c>
      <c r="E8" s="6" t="s">
        <v>61</v>
      </c>
    </row>
    <row r="9" customFormat="false" ht="42" hidden="false" customHeight="true" outlineLevel="0" collapsed="false">
      <c r="A9" s="11" t="s">
        <v>62</v>
      </c>
      <c r="B9" s="6" t="s">
        <v>63</v>
      </c>
      <c r="C9" s="6" t="s">
        <v>64</v>
      </c>
      <c r="D9" s="6" t="s">
        <v>65</v>
      </c>
      <c r="E9" s="6" t="s">
        <v>66</v>
      </c>
    </row>
    <row r="10" customFormat="false" ht="42" hidden="false" customHeight="true" outlineLevel="0" collapsed="false">
      <c r="A10" s="11" t="s">
        <v>67</v>
      </c>
      <c r="B10" s="6" t="s">
        <v>68</v>
      </c>
      <c r="C10" s="6" t="s">
        <v>69</v>
      </c>
      <c r="D10" s="6" t="s">
        <v>70</v>
      </c>
      <c r="E10" s="6" t="s">
        <v>71</v>
      </c>
    </row>
    <row r="11" customFormat="false" ht="42" hidden="false" customHeight="true" outlineLevel="0" collapsed="false">
      <c r="A11" s="11" t="s">
        <v>72</v>
      </c>
      <c r="B11" s="6" t="s">
        <v>73</v>
      </c>
      <c r="C11" s="6" t="s">
        <v>74</v>
      </c>
      <c r="D11" s="6" t="s">
        <v>75</v>
      </c>
      <c r="E11" s="6" t="s">
        <v>76</v>
      </c>
    </row>
    <row r="12" customFormat="false" ht="42" hidden="false" customHeight="true" outlineLevel="0" collapsed="false">
      <c r="A12" s="11" t="s">
        <v>77</v>
      </c>
      <c r="B12" s="6" t="s">
        <v>78</v>
      </c>
      <c r="C12" s="6" t="s">
        <v>79</v>
      </c>
      <c r="D12" s="6" t="s">
        <v>80</v>
      </c>
      <c r="E12" s="6" t="s">
        <v>81</v>
      </c>
    </row>
    <row r="13" customFormat="false" ht="42" hidden="false" customHeight="true" outlineLevel="0" collapsed="false">
      <c r="A13" s="11" t="s">
        <v>82</v>
      </c>
      <c r="B13" s="6" t="s">
        <v>83</v>
      </c>
      <c r="C13" s="6" t="s">
        <v>84</v>
      </c>
      <c r="D13" s="6" t="s">
        <v>85</v>
      </c>
      <c r="E13" s="6" t="s">
        <v>86</v>
      </c>
    </row>
    <row r="14" customFormat="false" ht="42" hidden="false" customHeight="true" outlineLevel="0" collapsed="false">
      <c r="A14" s="11" t="s">
        <v>87</v>
      </c>
      <c r="B14" s="6" t="s">
        <v>88</v>
      </c>
      <c r="C14" s="6" t="s">
        <v>89</v>
      </c>
      <c r="D14" s="6" t="s">
        <v>90</v>
      </c>
      <c r="E14" s="6" t="s">
        <v>91</v>
      </c>
    </row>
    <row r="15" customFormat="false" ht="42" hidden="false" customHeight="true" outlineLevel="0" collapsed="false">
      <c r="A15" s="11" t="s">
        <v>92</v>
      </c>
      <c r="B15" s="6" t="s">
        <v>93</v>
      </c>
      <c r="C15" s="6" t="s">
        <v>94</v>
      </c>
      <c r="D15" s="6" t="s">
        <v>95</v>
      </c>
      <c r="E15" s="6" t="s">
        <v>96</v>
      </c>
    </row>
    <row r="16" customFormat="false" ht="42" hidden="false" customHeight="true" outlineLevel="0" collapsed="false">
      <c r="A16" s="11" t="s">
        <v>97</v>
      </c>
      <c r="B16" s="6" t="s">
        <v>98</v>
      </c>
      <c r="C16" s="6" t="s">
        <v>99</v>
      </c>
      <c r="D16" s="6" t="s">
        <v>100</v>
      </c>
      <c r="E16" s="6" t="s">
        <v>101</v>
      </c>
    </row>
    <row r="17" customFormat="false" ht="42" hidden="false" customHeight="true" outlineLevel="0" collapsed="false">
      <c r="A17" s="11" t="s">
        <v>102</v>
      </c>
      <c r="B17" s="6" t="s">
        <v>103</v>
      </c>
      <c r="C17" s="6" t="s">
        <v>104</v>
      </c>
      <c r="D17" s="6" t="s">
        <v>105</v>
      </c>
      <c r="E17" s="6" t="s">
        <v>106</v>
      </c>
    </row>
    <row r="18" customFormat="false" ht="42" hidden="false" customHeight="true" outlineLevel="0" collapsed="false">
      <c r="A18" s="11" t="s">
        <v>107</v>
      </c>
      <c r="B18" s="6" t="s">
        <v>108</v>
      </c>
      <c r="C18" s="6" t="s">
        <v>109</v>
      </c>
      <c r="D18" s="6" t="s">
        <v>110</v>
      </c>
      <c r="E18" s="6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0"/>
  </cols>
  <sheetData>
    <row r="2" customFormat="false" ht="70.1" hidden="false" customHeight="false" outlineLevel="0" collapsed="false">
      <c r="A2" s="1" t="s">
        <v>112</v>
      </c>
    </row>
    <row r="3" customFormat="false" ht="35.05" hidden="false" customHeight="false" outlineLevel="0" collapsed="false">
      <c r="A3" s="3" t="s">
        <v>113</v>
      </c>
    </row>
    <row r="5" customFormat="false" ht="15" hidden="false" customHeight="false" outlineLevel="0" collapsed="false">
      <c r="A5" s="5"/>
      <c r="B5" s="5" t="s">
        <v>43</v>
      </c>
      <c r="C5" s="5" t="s">
        <v>44</v>
      </c>
      <c r="D5" s="5" t="s">
        <v>45</v>
      </c>
      <c r="E5" s="5" t="s">
        <v>46</v>
      </c>
    </row>
    <row r="6" customFormat="false" ht="15" hidden="false" customHeight="false" outlineLevel="0" collapsed="false">
      <c r="A6" s="11" t="s">
        <v>114</v>
      </c>
      <c r="B6" s="12" t="n">
        <v>6000</v>
      </c>
      <c r="C6" s="12" t="n">
        <v>18000</v>
      </c>
      <c r="D6" s="12" t="n">
        <v>45000</v>
      </c>
      <c r="E6" s="12" t="n">
        <v>120000</v>
      </c>
    </row>
    <row r="7" customFormat="false" ht="15" hidden="false" customHeight="false" outlineLevel="0" collapsed="false">
      <c r="A7" s="11" t="s">
        <v>115</v>
      </c>
      <c r="B7" s="12" t="n">
        <v>1200</v>
      </c>
      <c r="C7" s="12" t="n">
        <v>3500</v>
      </c>
      <c r="D7" s="12" t="n">
        <v>8000</v>
      </c>
      <c r="E7" s="12" t="n">
        <v>18000</v>
      </c>
    </row>
    <row r="8" customFormat="false" ht="15" hidden="false" customHeight="false" outlineLevel="0" collapsed="false">
      <c r="A8" s="11" t="s">
        <v>116</v>
      </c>
      <c r="B8" s="13" t="n">
        <f aca="false">B7*12</f>
        <v>14400</v>
      </c>
      <c r="C8" s="13" t="n">
        <f aca="false">C7*12</f>
        <v>42000</v>
      </c>
      <c r="D8" s="13" t="n">
        <f aca="false">D7*12</f>
        <v>96000</v>
      </c>
      <c r="E8" s="13" t="n">
        <f aca="false">E7*12</f>
        <v>216000</v>
      </c>
    </row>
    <row r="9" customFormat="false" ht="15" hidden="false" customHeight="false" outlineLevel="0" collapsed="false">
      <c r="A9" s="11" t="s">
        <v>117</v>
      </c>
      <c r="B9" s="14" t="n">
        <f aca="false">B6+B8</f>
        <v>20400</v>
      </c>
      <c r="C9" s="14" t="n">
        <f aca="false">C6+C8</f>
        <v>60000</v>
      </c>
      <c r="D9" s="14" t="n">
        <f aca="false">D6+D8</f>
        <v>141000</v>
      </c>
      <c r="E9" s="14" t="n">
        <f aca="false">E6+E8</f>
        <v>336000</v>
      </c>
    </row>
    <row r="11" customFormat="false" ht="26.85" hidden="false" customHeight="false" outlineLevel="0" collapsed="false">
      <c r="A11" s="2" t="s">
        <v>118</v>
      </c>
    </row>
    <row r="12" customFormat="false" ht="15" hidden="false" customHeight="false" outlineLevel="0" collapsed="false">
      <c r="A12" s="5" t="s">
        <v>119</v>
      </c>
      <c r="B12" s="5" t="s">
        <v>120</v>
      </c>
    </row>
    <row r="13" customFormat="false" ht="15" hidden="false" customHeight="false" outlineLevel="0" collapsed="false">
      <c r="A13" s="6" t="s">
        <v>121</v>
      </c>
      <c r="B13" s="15" t="s">
        <v>122</v>
      </c>
    </row>
    <row r="14" customFormat="false" ht="15" hidden="false" customHeight="false" outlineLevel="0" collapsed="false">
      <c r="A14" s="6" t="s">
        <v>123</v>
      </c>
      <c r="B14" s="15" t="s">
        <v>124</v>
      </c>
    </row>
    <row r="15" customFormat="false" ht="15" hidden="false" customHeight="false" outlineLevel="0" collapsed="false">
      <c r="A15" s="6" t="s">
        <v>125</v>
      </c>
      <c r="B15" s="15" t="s">
        <v>126</v>
      </c>
    </row>
    <row r="16" customFormat="false" ht="15" hidden="false" customHeight="false" outlineLevel="0" collapsed="false">
      <c r="A16" s="6" t="s">
        <v>127</v>
      </c>
      <c r="B16" s="15" t="s">
        <v>128</v>
      </c>
    </row>
    <row r="17" customFormat="false" ht="15" hidden="false" customHeight="false" outlineLevel="0" collapsed="false">
      <c r="A17" s="6" t="s">
        <v>129</v>
      </c>
      <c r="B17" s="15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0"/>
  </cols>
  <sheetData>
    <row r="2" customFormat="false" ht="35.8" hidden="false" customHeight="false" outlineLevel="0" collapsed="false">
      <c r="A2" s="1" t="s">
        <v>131</v>
      </c>
    </row>
    <row r="3" customFormat="false" ht="35.05" hidden="false" customHeight="false" outlineLevel="0" collapsed="false">
      <c r="A3" s="3" t="s">
        <v>132</v>
      </c>
    </row>
    <row r="5" customFormat="false" ht="15" hidden="false" customHeight="false" outlineLevel="0" collapsed="false">
      <c r="A5" s="5"/>
      <c r="B5" s="5" t="s">
        <v>43</v>
      </c>
      <c r="C5" s="5" t="s">
        <v>44</v>
      </c>
      <c r="D5" s="5" t="s">
        <v>45</v>
      </c>
      <c r="E5" s="5" t="s">
        <v>46</v>
      </c>
    </row>
    <row r="6" customFormat="false" ht="15" hidden="false" customHeight="false" outlineLevel="0" collapsed="false">
      <c r="A6" s="11" t="s">
        <v>114</v>
      </c>
      <c r="B6" s="16" t="n">
        <v>2500</v>
      </c>
      <c r="C6" s="16" t="n">
        <v>8000</v>
      </c>
      <c r="D6" s="16" t="n">
        <v>22000</v>
      </c>
      <c r="E6" s="16" t="n">
        <v>65000</v>
      </c>
    </row>
    <row r="7" customFormat="false" ht="15" hidden="false" customHeight="false" outlineLevel="0" collapsed="false">
      <c r="A7" s="11" t="s">
        <v>115</v>
      </c>
      <c r="B7" s="16" t="n">
        <v>450</v>
      </c>
      <c r="C7" s="16" t="n">
        <v>1400</v>
      </c>
      <c r="D7" s="16" t="n">
        <v>3500</v>
      </c>
      <c r="E7" s="16" t="n">
        <v>8500</v>
      </c>
    </row>
    <row r="8" customFormat="false" ht="15" hidden="false" customHeight="false" outlineLevel="0" collapsed="false">
      <c r="A8" s="11" t="s">
        <v>116</v>
      </c>
      <c r="B8" s="17" t="n">
        <f aca="false">B7*12</f>
        <v>5400</v>
      </c>
      <c r="C8" s="17" t="n">
        <f aca="false">C7*12</f>
        <v>16800</v>
      </c>
      <c r="D8" s="17" t="n">
        <f aca="false">D7*12</f>
        <v>42000</v>
      </c>
      <c r="E8" s="17" t="n">
        <f aca="false">E7*12</f>
        <v>102000</v>
      </c>
    </row>
    <row r="9" customFormat="false" ht="15" hidden="false" customHeight="false" outlineLevel="0" collapsed="false">
      <c r="A9" s="11" t="s">
        <v>117</v>
      </c>
      <c r="B9" s="18" t="n">
        <f aca="false">B6+B8</f>
        <v>7900</v>
      </c>
      <c r="C9" s="18" t="n">
        <f aca="false">C6+C8</f>
        <v>24800</v>
      </c>
      <c r="D9" s="18" t="n">
        <f aca="false">D6+D8</f>
        <v>64000</v>
      </c>
      <c r="E9" s="18" t="n">
        <f aca="false">E6+E8</f>
        <v>167000</v>
      </c>
    </row>
    <row r="11" customFormat="false" ht="26.85" hidden="false" customHeight="false" outlineLevel="0" collapsed="false">
      <c r="A11" s="2" t="s">
        <v>118</v>
      </c>
    </row>
    <row r="12" customFormat="false" ht="15" hidden="false" customHeight="false" outlineLevel="0" collapsed="false">
      <c r="A12" s="5" t="s">
        <v>119</v>
      </c>
      <c r="B12" s="5" t="s">
        <v>120</v>
      </c>
    </row>
    <row r="13" customFormat="false" ht="15" hidden="false" customHeight="false" outlineLevel="0" collapsed="false">
      <c r="A13" s="6" t="s">
        <v>121</v>
      </c>
      <c r="B13" s="15" t="s">
        <v>133</v>
      </c>
    </row>
    <row r="14" customFormat="false" ht="15" hidden="false" customHeight="false" outlineLevel="0" collapsed="false">
      <c r="A14" s="6" t="s">
        <v>123</v>
      </c>
      <c r="B14" s="15" t="s">
        <v>134</v>
      </c>
    </row>
    <row r="15" customFormat="false" ht="15" hidden="false" customHeight="false" outlineLevel="0" collapsed="false">
      <c r="A15" s="6" t="s">
        <v>125</v>
      </c>
      <c r="B15" s="15" t="s">
        <v>135</v>
      </c>
    </row>
    <row r="16" customFormat="false" ht="15" hidden="false" customHeight="false" outlineLevel="0" collapsed="false">
      <c r="A16" s="6" t="s">
        <v>127</v>
      </c>
      <c r="B16" s="15" t="s">
        <v>136</v>
      </c>
    </row>
    <row r="17" customFormat="false" ht="15" hidden="false" customHeight="false" outlineLevel="0" collapsed="false">
      <c r="A17" s="6" t="s">
        <v>137</v>
      </c>
      <c r="B17" s="15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0"/>
  </cols>
  <sheetData>
    <row r="2" customFormat="false" ht="70.1" hidden="false" customHeight="false" outlineLevel="0" collapsed="false">
      <c r="A2" s="1" t="s">
        <v>139</v>
      </c>
    </row>
    <row r="3" customFormat="false" ht="35.05" hidden="false" customHeight="false" outlineLevel="0" collapsed="false">
      <c r="A3" s="3" t="s">
        <v>140</v>
      </c>
    </row>
    <row r="5" customFormat="false" ht="15" hidden="false" customHeight="false" outlineLevel="0" collapsed="false">
      <c r="A5" s="5"/>
      <c r="B5" s="5" t="s">
        <v>43</v>
      </c>
      <c r="C5" s="5" t="s">
        <v>44</v>
      </c>
      <c r="D5" s="5" t="s">
        <v>45</v>
      </c>
      <c r="E5" s="5" t="s">
        <v>46</v>
      </c>
    </row>
    <row r="6" customFormat="false" ht="15" hidden="false" customHeight="false" outlineLevel="0" collapsed="false">
      <c r="A6" s="11" t="s">
        <v>114</v>
      </c>
      <c r="B6" s="19" t="n">
        <v>3000</v>
      </c>
      <c r="C6" s="19" t="n">
        <v>12000</v>
      </c>
      <c r="D6" s="19" t="n">
        <v>35000</v>
      </c>
      <c r="E6" s="19" t="n">
        <v>90000</v>
      </c>
    </row>
    <row r="7" customFormat="false" ht="15" hidden="false" customHeight="false" outlineLevel="0" collapsed="false">
      <c r="A7" s="11" t="s">
        <v>115</v>
      </c>
      <c r="B7" s="19" t="n">
        <v>600</v>
      </c>
      <c r="C7" s="19" t="n">
        <v>2000</v>
      </c>
      <c r="D7" s="19" t="n">
        <v>6000</v>
      </c>
      <c r="E7" s="19" t="n">
        <v>15000</v>
      </c>
    </row>
    <row r="8" customFormat="false" ht="15" hidden="false" customHeight="false" outlineLevel="0" collapsed="false">
      <c r="A8" s="11" t="s">
        <v>116</v>
      </c>
      <c r="B8" s="20" t="n">
        <f aca="false">B7*12</f>
        <v>7200</v>
      </c>
      <c r="C8" s="20" t="n">
        <f aca="false">C7*12</f>
        <v>24000</v>
      </c>
      <c r="D8" s="20" t="n">
        <f aca="false">D7*12</f>
        <v>72000</v>
      </c>
      <c r="E8" s="20" t="n">
        <f aca="false">E7*12</f>
        <v>180000</v>
      </c>
    </row>
    <row r="9" customFormat="false" ht="15" hidden="false" customHeight="false" outlineLevel="0" collapsed="false">
      <c r="A9" s="11" t="s">
        <v>117</v>
      </c>
      <c r="B9" s="21" t="n">
        <f aca="false">B6+B8</f>
        <v>10200</v>
      </c>
      <c r="C9" s="21" t="n">
        <f aca="false">C6+C8</f>
        <v>36000</v>
      </c>
      <c r="D9" s="21" t="n">
        <f aca="false">D6+D8</f>
        <v>107000</v>
      </c>
      <c r="E9" s="21" t="n">
        <f aca="false">E6+E8</f>
        <v>270000</v>
      </c>
    </row>
    <row r="11" customFormat="false" ht="26.85" hidden="false" customHeight="false" outlineLevel="0" collapsed="false">
      <c r="A11" s="2" t="s">
        <v>118</v>
      </c>
    </row>
    <row r="12" customFormat="false" ht="15" hidden="false" customHeight="false" outlineLevel="0" collapsed="false">
      <c r="A12" s="5" t="s">
        <v>119</v>
      </c>
      <c r="B12" s="5" t="s">
        <v>120</v>
      </c>
    </row>
    <row r="13" customFormat="false" ht="15" hidden="false" customHeight="false" outlineLevel="0" collapsed="false">
      <c r="A13" s="6" t="s">
        <v>121</v>
      </c>
      <c r="B13" s="15" t="s">
        <v>141</v>
      </c>
    </row>
    <row r="14" customFormat="false" ht="15" hidden="false" customHeight="false" outlineLevel="0" collapsed="false">
      <c r="A14" s="6" t="s">
        <v>142</v>
      </c>
      <c r="B14" s="15" t="s">
        <v>143</v>
      </c>
    </row>
    <row r="15" customFormat="false" ht="15" hidden="false" customHeight="false" outlineLevel="0" collapsed="false">
      <c r="A15" s="6" t="s">
        <v>125</v>
      </c>
      <c r="B15" s="15" t="s">
        <v>144</v>
      </c>
    </row>
    <row r="16" customFormat="false" ht="15" hidden="false" customHeight="false" outlineLevel="0" collapsed="false">
      <c r="A16" s="6" t="s">
        <v>145</v>
      </c>
      <c r="B16" s="15" t="s">
        <v>146</v>
      </c>
    </row>
    <row r="17" customFormat="false" ht="15" hidden="false" customHeight="false" outlineLevel="0" collapsed="false">
      <c r="A17" s="6" t="s">
        <v>147</v>
      </c>
      <c r="B17" s="15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8"/>
  </cols>
  <sheetData>
    <row r="2" customFormat="false" ht="35.8" hidden="false" customHeight="false" outlineLevel="0" collapsed="false">
      <c r="A2" s="1" t="s">
        <v>149</v>
      </c>
    </row>
    <row r="3" customFormat="false" ht="46.25" hidden="false" customHeight="false" outlineLevel="0" collapsed="false">
      <c r="A3" s="3" t="s">
        <v>150</v>
      </c>
    </row>
    <row r="5" customFormat="false" ht="15" hidden="false" customHeight="false" outlineLevel="0" collapsed="false">
      <c r="A5" s="5"/>
      <c r="B5" s="5" t="s">
        <v>43</v>
      </c>
      <c r="C5" s="5" t="s">
        <v>44</v>
      </c>
      <c r="D5" s="5" t="s">
        <v>45</v>
      </c>
      <c r="E5" s="5" t="s">
        <v>46</v>
      </c>
    </row>
    <row r="6" customFormat="false" ht="15" hidden="false" customHeight="false" outlineLevel="0" collapsed="false">
      <c r="A6" s="11" t="s">
        <v>151</v>
      </c>
      <c r="B6" s="22" t="n">
        <f aca="false">1200*Assumptions!$C$8</f>
        <v>255.6</v>
      </c>
      <c r="C6" s="22" t="n">
        <f aca="false">3500*Assumptions!$C$8</f>
        <v>745.5</v>
      </c>
      <c r="D6" s="22" t="n">
        <f aca="false">8000*Assumptions!$C$8</f>
        <v>1704</v>
      </c>
      <c r="E6" s="22" t="n">
        <f aca="false">18000*Assumptions!$C$8</f>
        <v>3834</v>
      </c>
    </row>
    <row r="7" customFormat="false" ht="15" hidden="false" customHeight="false" outlineLevel="0" collapsed="false">
      <c r="A7" s="11" t="s">
        <v>152</v>
      </c>
      <c r="B7" s="23" t="n">
        <f aca="false">Assumptions!$C$11</f>
        <v>25</v>
      </c>
      <c r="C7" s="23" t="n">
        <f aca="false">Assumptions!$C$12</f>
        <v>90</v>
      </c>
      <c r="D7" s="23" t="n">
        <f aca="false">Assumptions!$C$13</f>
        <v>350</v>
      </c>
      <c r="E7" s="23" t="n">
        <f aca="false">Assumptions!$C$14</f>
        <v>1400</v>
      </c>
    </row>
    <row r="8" customFormat="false" ht="15" hidden="false" customHeight="false" outlineLevel="0" collapsed="false">
      <c r="A8" s="11" t="s">
        <v>153</v>
      </c>
      <c r="B8" s="22" t="n">
        <f aca="false">B6-B7</f>
        <v>230.6</v>
      </c>
      <c r="C8" s="22" t="n">
        <f aca="false">C6-C7</f>
        <v>655.5</v>
      </c>
      <c r="D8" s="22" t="n">
        <f aca="false">D6-D7</f>
        <v>1354</v>
      </c>
      <c r="E8" s="22" t="n">
        <f aca="false">E6-E7</f>
        <v>2434</v>
      </c>
    </row>
    <row r="9" customFormat="false" ht="15" hidden="false" customHeight="false" outlineLevel="0" collapsed="false">
      <c r="A9" s="11" t="s">
        <v>154</v>
      </c>
      <c r="B9" s="24" t="n">
        <f aca="false">B8/B6</f>
        <v>0.902190923317684</v>
      </c>
      <c r="C9" s="24" t="n">
        <f aca="false">C8/C6</f>
        <v>0.879275653923541</v>
      </c>
      <c r="D9" s="24" t="n">
        <f aca="false">D8/D6</f>
        <v>0.794600938967136</v>
      </c>
      <c r="E9" s="24" t="n">
        <f aca="false">E8/E6</f>
        <v>0.634846113719353</v>
      </c>
    </row>
    <row r="11" customFormat="false" ht="15" hidden="false" customHeight="false" outlineLevel="0" collapsed="false">
      <c r="A11" s="11" t="s">
        <v>155</v>
      </c>
      <c r="B11" s="22" t="n">
        <f aca="false">6000*Assumptions!$C$8</f>
        <v>1278</v>
      </c>
      <c r="C11" s="22" t="n">
        <f aca="false">18000*Assumptions!$C$8</f>
        <v>3834</v>
      </c>
      <c r="D11" s="22" t="n">
        <f aca="false">45000*Assumptions!$C$8</f>
        <v>9585</v>
      </c>
      <c r="E11" s="22" t="n">
        <f aca="false">120000*Assumptions!$C$8</f>
        <v>25560</v>
      </c>
    </row>
    <row r="12" customFormat="false" ht="15" hidden="false" customHeight="false" outlineLevel="0" collapsed="false">
      <c r="A12" s="11" t="s">
        <v>156</v>
      </c>
      <c r="B12" s="25" t="n">
        <v>16</v>
      </c>
      <c r="C12" s="25" t="n">
        <v>50</v>
      </c>
      <c r="D12" s="25" t="n">
        <v>130</v>
      </c>
      <c r="E12" s="25" t="n">
        <v>320</v>
      </c>
    </row>
    <row r="13" customFormat="false" ht="15" hidden="false" customHeight="false" outlineLevel="0" collapsed="false">
      <c r="A13" s="11" t="s">
        <v>157</v>
      </c>
      <c r="B13" s="22" t="n">
        <f aca="false">B12*Assumptions!$C$10</f>
        <v>672</v>
      </c>
      <c r="C13" s="22" t="n">
        <f aca="false">C12*Assumptions!$C$10</f>
        <v>2100</v>
      </c>
      <c r="D13" s="22" t="n">
        <f aca="false">D12*Assumptions!$C$10</f>
        <v>5460</v>
      </c>
      <c r="E13" s="22" t="n">
        <f aca="false">E12*Assumptions!$C$10</f>
        <v>13440</v>
      </c>
    </row>
    <row r="14" customFormat="false" ht="15" hidden="false" customHeight="false" outlineLevel="0" collapsed="false">
      <c r="A14" s="11" t="s">
        <v>158</v>
      </c>
      <c r="B14" s="22" t="n">
        <f aca="false">B11-B13</f>
        <v>606</v>
      </c>
      <c r="C14" s="22" t="n">
        <f aca="false">C11-C13</f>
        <v>1734</v>
      </c>
      <c r="D14" s="22" t="n">
        <f aca="false">D11-D13</f>
        <v>4125</v>
      </c>
      <c r="E14" s="22" t="n">
        <f aca="false">E11-E13</f>
        <v>12120</v>
      </c>
    </row>
    <row r="15" customFormat="false" ht="15" hidden="false" customHeight="false" outlineLevel="0" collapsed="false">
      <c r="A15" s="11" t="s">
        <v>159</v>
      </c>
      <c r="B15" s="24" t="n">
        <f aca="false">B14/B11</f>
        <v>0.474178403755869</v>
      </c>
      <c r="C15" s="24" t="n">
        <f aca="false">C14/C11</f>
        <v>0.45226917057903</v>
      </c>
      <c r="D15" s="24" t="n">
        <f aca="false">D14/D11</f>
        <v>0.430359937402191</v>
      </c>
      <c r="E15" s="24" t="n">
        <f aca="false">E14/E11</f>
        <v>0.474178403755869</v>
      </c>
    </row>
    <row r="17" customFormat="false" ht="15" hidden="false" customHeight="false" outlineLevel="0" collapsed="false">
      <c r="A17" s="11" t="s">
        <v>160</v>
      </c>
      <c r="B17" s="22" t="n">
        <f aca="false">B11+B6*12</f>
        <v>4345.2</v>
      </c>
      <c r="C17" s="22" t="n">
        <f aca="false">C11+C6*12</f>
        <v>12780</v>
      </c>
      <c r="D17" s="22" t="n">
        <f aca="false">D11+D6*12</f>
        <v>30033</v>
      </c>
      <c r="E17" s="22" t="n">
        <f aca="false">E11+E6*12</f>
        <v>71568</v>
      </c>
    </row>
    <row r="18" customFormat="false" ht="15" hidden="false" customHeight="false" outlineLevel="0" collapsed="false">
      <c r="A18" s="11" t="s">
        <v>161</v>
      </c>
      <c r="B18" s="22" t="n">
        <f aca="false">B13+B7*12</f>
        <v>972</v>
      </c>
      <c r="C18" s="22" t="n">
        <f aca="false">C13+C7*12</f>
        <v>3180</v>
      </c>
      <c r="D18" s="22" t="n">
        <f aca="false">D13+D7*12</f>
        <v>9660</v>
      </c>
      <c r="E18" s="22" t="n">
        <f aca="false">E13+E7*12</f>
        <v>30240</v>
      </c>
    </row>
    <row r="19" customFormat="false" ht="15" hidden="false" customHeight="false" outlineLevel="0" collapsed="false">
      <c r="A19" s="11" t="s">
        <v>162</v>
      </c>
      <c r="B19" s="26" t="n">
        <f aca="false">(B17-B18)/B17</f>
        <v>0.776304888152444</v>
      </c>
      <c r="C19" s="26" t="n">
        <f aca="false">(C17-C18)/C17</f>
        <v>0.751173708920188</v>
      </c>
      <c r="D19" s="26" t="n">
        <f aca="false">(D17-D18)/D17</f>
        <v>0.678353810808111</v>
      </c>
      <c r="E19" s="26" t="n">
        <f aca="false">(E17-E18)/E17</f>
        <v>0.577464788732394</v>
      </c>
    </row>
    <row r="21" customFormat="false" ht="46.25" hidden="false" customHeight="false" outlineLevel="0" collapsed="false">
      <c r="A21" s="3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</cols>
  <sheetData>
    <row r="2" customFormat="false" ht="35.8" hidden="false" customHeight="false" outlineLevel="0" collapsed="false">
      <c r="A2" s="1" t="s">
        <v>164</v>
      </c>
    </row>
    <row r="3" customFormat="false" ht="46.25" hidden="false" customHeight="false" outlineLevel="0" collapsed="false">
      <c r="A3" s="3" t="s">
        <v>165</v>
      </c>
    </row>
    <row r="5" customFormat="false" ht="15" hidden="false" customHeight="false" outlineLevel="0" collapsed="false">
      <c r="A5" s="5"/>
      <c r="B5" s="5" t="s">
        <v>166</v>
      </c>
      <c r="C5" s="5" t="s">
        <v>167</v>
      </c>
      <c r="D5" s="5" t="s">
        <v>168</v>
      </c>
    </row>
    <row r="6" customFormat="false" ht="15" hidden="false" customHeight="false" outlineLevel="0" collapsed="false">
      <c r="A6" s="2" t="s">
        <v>169</v>
      </c>
    </row>
    <row r="7" customFormat="false" ht="15" hidden="false" customHeight="false" outlineLevel="0" collapsed="false">
      <c r="A7" s="6" t="s">
        <v>170</v>
      </c>
      <c r="B7" s="25" t="n">
        <v>5</v>
      </c>
      <c r="C7" s="25" t="n">
        <v>30</v>
      </c>
      <c r="D7" s="25" t="n">
        <v>110</v>
      </c>
    </row>
    <row r="8" customFormat="false" ht="15" hidden="false" customHeight="false" outlineLevel="0" collapsed="false">
      <c r="A8" s="6" t="s">
        <v>171</v>
      </c>
      <c r="B8" s="25" t="n">
        <v>8</v>
      </c>
      <c r="C8" s="25" t="n">
        <v>22</v>
      </c>
      <c r="D8" s="25" t="n">
        <v>45</v>
      </c>
    </row>
    <row r="9" customFormat="false" ht="15" hidden="false" customHeight="false" outlineLevel="0" collapsed="false">
      <c r="A9" s="6" t="s">
        <v>172</v>
      </c>
      <c r="B9" s="25" t="n">
        <v>3</v>
      </c>
      <c r="C9" s="25" t="n">
        <v>8</v>
      </c>
      <c r="D9" s="25" t="n">
        <v>18</v>
      </c>
    </row>
    <row r="10" customFormat="false" ht="15" hidden="false" customHeight="false" outlineLevel="0" collapsed="false">
      <c r="A10" s="6" t="s">
        <v>173</v>
      </c>
      <c r="B10" s="25" t="n">
        <v>0</v>
      </c>
      <c r="C10" s="25" t="n">
        <v>2</v>
      </c>
      <c r="D10" s="25" t="n">
        <v>6</v>
      </c>
    </row>
    <row r="11" customFormat="false" ht="15" hidden="false" customHeight="false" outlineLevel="0" collapsed="false">
      <c r="A11" s="11" t="s">
        <v>174</v>
      </c>
      <c r="B11" s="27" t="n">
        <f aca="false">SUM(B7:B10)</f>
        <v>16</v>
      </c>
      <c r="C11" s="27" t="n">
        <f aca="false">SUM(C7:C10)</f>
        <v>62</v>
      </c>
      <c r="D11" s="27" t="n">
        <f aca="false">SUM(D7:D10)</f>
        <v>179</v>
      </c>
    </row>
    <row r="13" customFormat="false" ht="15" hidden="false" customHeight="false" outlineLevel="0" collapsed="false">
      <c r="A13" s="2" t="s">
        <v>175</v>
      </c>
    </row>
    <row r="14" customFormat="false" ht="15" hidden="false" customHeight="false" outlineLevel="0" collapsed="false">
      <c r="A14" s="6" t="s">
        <v>170</v>
      </c>
      <c r="B14" s="28" t="n">
        <f aca="false">B7</f>
        <v>5</v>
      </c>
      <c r="C14" s="28" t="n">
        <f aca="false">B14*Assumptions!$C$15+C7</f>
        <v>34.25</v>
      </c>
      <c r="D14" s="28" t="n">
        <f aca="false">C14*Assumptions!$C$15+D7</f>
        <v>139.1125</v>
      </c>
    </row>
    <row r="15" customFormat="false" ht="15" hidden="false" customHeight="false" outlineLevel="0" collapsed="false">
      <c r="A15" s="6" t="s">
        <v>171</v>
      </c>
      <c r="B15" s="28" t="n">
        <f aca="false">B8</f>
        <v>8</v>
      </c>
      <c r="C15" s="28" t="n">
        <f aca="false">B15*Assumptions!$C$15+C8</f>
        <v>28.8</v>
      </c>
      <c r="D15" s="28" t="n">
        <f aca="false">C15*Assumptions!$C$15+D8</f>
        <v>69.48</v>
      </c>
    </row>
    <row r="16" customFormat="false" ht="15" hidden="false" customHeight="false" outlineLevel="0" collapsed="false">
      <c r="A16" s="6" t="s">
        <v>172</v>
      </c>
      <c r="B16" s="28" t="n">
        <f aca="false">B9</f>
        <v>3</v>
      </c>
      <c r="C16" s="28" t="n">
        <f aca="false">B16*Assumptions!$C$15+C9</f>
        <v>10.55</v>
      </c>
      <c r="D16" s="28" t="n">
        <f aca="false">C16*Assumptions!$C$15+D9</f>
        <v>26.9675</v>
      </c>
    </row>
    <row r="17" customFormat="false" ht="15" hidden="false" customHeight="false" outlineLevel="0" collapsed="false">
      <c r="A17" s="6" t="s">
        <v>173</v>
      </c>
      <c r="B17" s="28" t="n">
        <f aca="false">B10</f>
        <v>0</v>
      </c>
      <c r="C17" s="28" t="n">
        <f aca="false">B17*Assumptions!$C$15+C10</f>
        <v>2</v>
      </c>
      <c r="D17" s="28" t="n">
        <f aca="false">C17*Assumptions!$C$15+D10</f>
        <v>7.7</v>
      </c>
    </row>
    <row r="18" customFormat="false" ht="15" hidden="false" customHeight="false" outlineLevel="0" collapsed="false">
      <c r="A18" s="11" t="s">
        <v>176</v>
      </c>
      <c r="B18" s="27" t="n">
        <f aca="false">SUM(B14:B17)</f>
        <v>16</v>
      </c>
      <c r="C18" s="27" t="n">
        <f aca="false">SUM(C14:C17)</f>
        <v>75.6</v>
      </c>
      <c r="D18" s="27" t="n">
        <f aca="false">SUM(D14:D17)</f>
        <v>243.26</v>
      </c>
    </row>
    <row r="20" customFormat="false" ht="15" hidden="false" customHeight="false" outlineLevel="0" collapsed="false">
      <c r="A20" s="2" t="s">
        <v>177</v>
      </c>
    </row>
    <row r="21" customFormat="false" ht="15" hidden="false" customHeight="false" outlineLevel="0" collapsed="false">
      <c r="A21" s="6" t="s">
        <v>178</v>
      </c>
      <c r="B21" s="22" t="n">
        <f aca="false">B7*1278+B8*3834+B9*9585+B10*25560</f>
        <v>65817</v>
      </c>
      <c r="C21" s="22" t="n">
        <f aca="false">C7*1278+C8*3834+C9*9585+C10*25560</f>
        <v>250488</v>
      </c>
      <c r="D21" s="22" t="n">
        <f aca="false">D7*1278+D8*3834+D9*9585+D10*25560</f>
        <v>639000</v>
      </c>
    </row>
    <row r="22" customFormat="false" ht="15" hidden="false" customHeight="false" outlineLevel="0" collapsed="false">
      <c r="A22" s="6" t="s">
        <v>179</v>
      </c>
      <c r="B22" s="22" t="n">
        <f aca="false">B14*3067+B15*8946+B16*20448+B17*46008</f>
        <v>148247</v>
      </c>
      <c r="C22" s="22" t="n">
        <f aca="false">C14*3067+C15*8946+C16*20448+C17*46008</f>
        <v>670431.95</v>
      </c>
      <c r="D22" s="22" t="n">
        <f aca="false">D14*3067+D15*8946+D16*20448+D17*46008</f>
        <v>1953919.1575</v>
      </c>
    </row>
    <row r="23" customFormat="false" ht="15" hidden="false" customHeight="false" outlineLevel="0" collapsed="false">
      <c r="A23" s="11" t="s">
        <v>180</v>
      </c>
      <c r="B23" s="29" t="n">
        <f aca="false">B21+B22</f>
        <v>214064</v>
      </c>
      <c r="C23" s="29" t="n">
        <f aca="false">C21+C22</f>
        <v>920919.95</v>
      </c>
      <c r="D23" s="29" t="n">
        <f aca="false">D21+D22</f>
        <v>2592919.1575</v>
      </c>
    </row>
    <row r="25" customFormat="false" ht="15" hidden="false" customHeight="false" outlineLevel="0" collapsed="false">
      <c r="A25" s="2" t="s">
        <v>181</v>
      </c>
    </row>
    <row r="26" customFormat="false" ht="15" hidden="false" customHeight="false" outlineLevel="0" collapsed="false">
      <c r="A26" s="6" t="s">
        <v>182</v>
      </c>
      <c r="B26" s="22" t="n">
        <f aca="false">B21*0.45+B22*0.2</f>
        <v>59267.05</v>
      </c>
      <c r="C26" s="22" t="n">
        <f aca="false">C21*0.45+C22*0.2</f>
        <v>246805.99</v>
      </c>
      <c r="D26" s="22" t="n">
        <f aca="false">D21*0.45+D22*0.2</f>
        <v>678333.8315</v>
      </c>
    </row>
    <row r="27" customFormat="false" ht="15" hidden="false" customHeight="false" outlineLevel="0" collapsed="false">
      <c r="A27" s="11" t="s">
        <v>183</v>
      </c>
      <c r="B27" s="29" t="n">
        <f aca="false">B23-B26</f>
        <v>154796.95</v>
      </c>
      <c r="C27" s="29" t="n">
        <f aca="false">C23-C26</f>
        <v>674113.96</v>
      </c>
      <c r="D27" s="29" t="n">
        <f aca="false">D23-D26</f>
        <v>1914585.326</v>
      </c>
    </row>
    <row r="28" customFormat="false" ht="15" hidden="false" customHeight="false" outlineLevel="0" collapsed="false">
      <c r="A28" s="30" t="s">
        <v>184</v>
      </c>
      <c r="B28" s="24" t="n">
        <f aca="false">B27/B23</f>
        <v>0.723133969280215</v>
      </c>
      <c r="C28" s="24" t="n">
        <f aca="false">C27/C23</f>
        <v>0.732000604395637</v>
      </c>
      <c r="D28" s="24" t="n">
        <f aca="false">D27/D23</f>
        <v>0.738389903311129</v>
      </c>
    </row>
    <row r="30" customFormat="false" ht="15" hidden="false" customHeight="false" outlineLevel="0" collapsed="false">
      <c r="A30" s="6" t="s">
        <v>185</v>
      </c>
      <c r="B30" s="31" t="n">
        <v>180000</v>
      </c>
      <c r="C30" s="31" t="n">
        <v>520000</v>
      </c>
      <c r="D30" s="31" t="n">
        <v>1150000</v>
      </c>
    </row>
    <row r="31" customFormat="false" ht="15" hidden="false" customHeight="false" outlineLevel="0" collapsed="false">
      <c r="A31" s="11" t="s">
        <v>186</v>
      </c>
      <c r="B31" s="29" t="n">
        <f aca="false">B27-B30</f>
        <v>-25203.05</v>
      </c>
      <c r="C31" s="29" t="n">
        <f aca="false">C27-C30</f>
        <v>154113.96</v>
      </c>
      <c r="D31" s="29" t="n">
        <f aca="false">D27-D30</f>
        <v>764585.326</v>
      </c>
    </row>
    <row r="32" customFormat="false" ht="15" hidden="false" customHeight="false" outlineLevel="0" collapsed="false">
      <c r="A32" s="30" t="s">
        <v>187</v>
      </c>
      <c r="B32" s="24" t="n">
        <f aca="false">B31/B23</f>
        <v>-0.117736050900665</v>
      </c>
      <c r="C32" s="24" t="n">
        <f aca="false">C31/C23</f>
        <v>0.167347835172862</v>
      </c>
      <c r="D32" s="24" t="n">
        <f aca="false">D31/D23</f>
        <v>0.294874340292655</v>
      </c>
    </row>
    <row r="34" customFormat="false" ht="15" hidden="false" customHeight="false" outlineLevel="0" collapsed="false">
      <c r="A34" s="30" t="s">
        <v>188</v>
      </c>
      <c r="B34" s="29" t="n">
        <f aca="false">B22/12</f>
        <v>12353.9166666667</v>
      </c>
      <c r="C34" s="29" t="n">
        <f aca="false">C22/12</f>
        <v>55869.3291666667</v>
      </c>
      <c r="D34" s="29" t="n">
        <f aca="false">D22/12</f>
        <v>162826.596458333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</cols>
  <sheetData>
    <row r="2" customFormat="false" ht="19.7" hidden="false" customHeight="false" outlineLevel="0" collapsed="false">
      <c r="A2" s="1" t="s">
        <v>189</v>
      </c>
    </row>
    <row r="3" customFormat="false" ht="35.05" hidden="false" customHeight="false" outlineLevel="0" collapsed="false">
      <c r="A3" s="3" t="s">
        <v>190</v>
      </c>
    </row>
    <row r="5" customFormat="false" ht="15" hidden="false" customHeight="false" outlineLevel="0" collapsed="false">
      <c r="A5" s="5" t="s">
        <v>191</v>
      </c>
      <c r="B5" s="5" t="s">
        <v>192</v>
      </c>
      <c r="C5" s="5" t="s">
        <v>193</v>
      </c>
      <c r="D5" s="5" t="s">
        <v>194</v>
      </c>
    </row>
    <row r="6" customFormat="false" ht="15" hidden="false" customHeight="false" outlineLevel="0" collapsed="false">
      <c r="A6" s="6" t="s">
        <v>195</v>
      </c>
      <c r="B6" s="25" t="n">
        <v>1</v>
      </c>
      <c r="C6" s="25" t="n">
        <v>1</v>
      </c>
      <c r="D6" s="25" t="n">
        <v>1</v>
      </c>
    </row>
    <row r="7" customFormat="false" ht="15" hidden="false" customHeight="false" outlineLevel="0" collapsed="false">
      <c r="A7" s="6" t="s">
        <v>196</v>
      </c>
      <c r="B7" s="25" t="n">
        <v>1</v>
      </c>
      <c r="C7" s="25" t="n">
        <v>3</v>
      </c>
      <c r="D7" s="25" t="n">
        <v>6</v>
      </c>
    </row>
    <row r="8" customFormat="false" ht="15" hidden="false" customHeight="false" outlineLevel="0" collapsed="false">
      <c r="A8" s="6" t="s">
        <v>197</v>
      </c>
      <c r="B8" s="25" t="n">
        <v>1</v>
      </c>
      <c r="C8" s="25" t="n">
        <v>3</v>
      </c>
      <c r="D8" s="25" t="n">
        <v>7</v>
      </c>
    </row>
    <row r="9" customFormat="false" ht="15" hidden="false" customHeight="false" outlineLevel="0" collapsed="false">
      <c r="A9" s="6" t="s">
        <v>198</v>
      </c>
      <c r="B9" s="25" t="n">
        <v>0</v>
      </c>
      <c r="C9" s="25" t="n">
        <v>2</v>
      </c>
      <c r="D9" s="25" t="n">
        <v>5</v>
      </c>
    </row>
    <row r="10" customFormat="false" ht="15" hidden="false" customHeight="false" outlineLevel="0" collapsed="false">
      <c r="A10" s="6" t="s">
        <v>199</v>
      </c>
      <c r="B10" s="25" t="n">
        <v>0</v>
      </c>
      <c r="C10" s="25" t="n">
        <v>1</v>
      </c>
      <c r="D10" s="25" t="n">
        <v>4</v>
      </c>
    </row>
    <row r="11" customFormat="false" ht="15" hidden="false" customHeight="false" outlineLevel="0" collapsed="false">
      <c r="A11" s="6" t="s">
        <v>200</v>
      </c>
      <c r="B11" s="25" t="n">
        <v>1</v>
      </c>
      <c r="C11" s="25" t="n">
        <v>1</v>
      </c>
      <c r="D11" s="25" t="n">
        <v>3</v>
      </c>
    </row>
    <row r="12" customFormat="false" ht="15" hidden="false" customHeight="false" outlineLevel="0" collapsed="false">
      <c r="A12" s="6" t="s">
        <v>201</v>
      </c>
      <c r="B12" s="25" t="n">
        <v>0</v>
      </c>
      <c r="C12" s="25" t="n">
        <v>1</v>
      </c>
      <c r="D12" s="25" t="n">
        <v>2</v>
      </c>
    </row>
    <row r="13" customFormat="false" ht="15" hidden="false" customHeight="false" outlineLevel="0" collapsed="false">
      <c r="A13" s="11" t="s">
        <v>202</v>
      </c>
      <c r="B13" s="27" t="n">
        <f aca="false">SUM(B6:B12)</f>
        <v>4</v>
      </c>
      <c r="C13" s="27" t="n">
        <f aca="false">SUM(C6:C12)</f>
        <v>12</v>
      </c>
      <c r="D13" s="27" t="n">
        <f aca="false">SUM(D6:D12)</f>
        <v>28</v>
      </c>
    </row>
    <row r="15" customFormat="false" ht="15" hidden="false" customHeight="false" outlineLevel="0" collapsed="false">
      <c r="A15" s="30" t="s">
        <v>203</v>
      </c>
      <c r="B15" s="23" t="n">
        <f aca="false">'Revenue Model'!B23/B13</f>
        <v>53516</v>
      </c>
      <c r="C15" s="23" t="n">
        <f aca="false">'Revenue Model'!C23/C13</f>
        <v>76743.3291666667</v>
      </c>
      <c r="D15" s="23" t="n">
        <f aca="false">'Revenue Model'!D23/D13</f>
        <v>92604.255625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2026-06-23T07:17:11Z</dcterms:created>
  <dc:creator>openpyxl</dc:creator>
  <dc:description/>
  <dc:language>en-US</dc:language>
  <cp:lastModifiedBy/>
  <dcterms:modified xsi:type="dcterms:W3CDTF">2026-06-23T07:17:11Z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